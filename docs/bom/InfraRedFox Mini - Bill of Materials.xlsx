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506" documentId="11_924858E5C0DEB8026F15A6DB943E8C1851038383" xr6:coauthVersionLast="47" xr6:coauthVersionMax="47" xr10:uidLastSave="{B953A51A-064C-4E5C-B71A-BA9E3CAF6A23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  <c r="C30" i="1"/>
  <c r="C29" i="1"/>
  <c r="C31" i="1"/>
  <c r="C28" i="1"/>
  <c r="C22" i="1"/>
  <c r="C21" i="1"/>
  <c r="C20" i="1"/>
  <c r="C32" i="1"/>
  <c r="C27" i="1"/>
  <c r="C26" i="1"/>
  <c r="C25" i="1"/>
  <c r="C24" i="1"/>
  <c r="C23" i="1"/>
  <c r="B14" i="1"/>
  <c r="B13" i="1" s="1"/>
</calcChain>
</file>

<file path=xl/sharedStrings.xml><?xml version="1.0" encoding="utf-8"?>
<sst xmlns="http://schemas.openxmlformats.org/spreadsheetml/2006/main" count="84" uniqueCount="67">
  <si>
    <t>InfraredFox Mini - Bill of Materials</t>
  </si>
  <si>
    <t>Edge Computing Safety System - Railway/Metro Platform Prototype</t>
  </si>
  <si>
    <t>Project information:</t>
  </si>
  <si>
    <t>Project</t>
  </si>
  <si>
    <t>InfraRedFox Mini</t>
  </si>
  <si>
    <t>Course</t>
  </si>
  <si>
    <t>Edge Computing</t>
  </si>
  <si>
    <t>Team</t>
  </si>
  <si>
    <t>Marian, Mona &amp; Alessandro</t>
  </si>
  <si>
    <t>Number of prototypes</t>
  </si>
  <si>
    <t>Cost per prototype</t>
  </si>
  <si>
    <t>Total cost</t>
  </si>
  <si>
    <t>Category</t>
  </si>
  <si>
    <t>Component</t>
  </si>
  <si>
    <t>Quantity</t>
  </si>
  <si>
    <t>Unit Price(SEK excl. VAT)</t>
  </si>
  <si>
    <t>Supplier</t>
  </si>
  <si>
    <t>Article No. / Product Link</t>
  </si>
  <si>
    <t>Motivation</t>
  </si>
  <si>
    <t>Microcontroller</t>
  </si>
  <si>
    <t>Raspberry Pi Pico 2 WH</t>
  </si>
  <si>
    <t>Electrokit</t>
  </si>
  <si>
    <t>Main edge device running MicroPython, processing sensor inputs and publishing safety data via MQTT. Pre-soldered headers allow direct breadboard connection.</t>
  </si>
  <si>
    <t>Prototyping</t>
  </si>
  <si>
    <t>Solderless Breadboard 840 tie-points</t>
  </si>
  <si>
    <t>Provides a solderless platform for connecting the Pico, sensors and output components during prototyping</t>
  </si>
  <si>
    <t>Connectivity/Power</t>
  </si>
  <si>
    <t>USB-kabel A-hane - micro B hane 60cm</t>
  </si>
  <si>
    <t>Connects the Raspberry Pi Pico WH to a computer for programming, data transfer and power</t>
  </si>
  <si>
    <t>Wiring</t>
  </si>
  <si>
    <t>Jumper wire for breadboard - smooth 65 pcs</t>
  </si>
  <si>
    <t>Used to connect the Pico, sensors and other electronic components on the breadboard. Multiple wires are required..., supplied as a pack of 65.</t>
  </si>
  <si>
    <t>Indicator</t>
  </si>
  <si>
    <t>LED 5 mm green diffuse 80 mcd 2 pcs</t>
  </si>
  <si>
    <t>One LED is used to indicate SAFE state, supplied in a pack of 2.</t>
  </si>
  <si>
    <t>LED 5mm yellow clear 10000mcd 6pcs</t>
  </si>
  <si>
    <t>One LED is used to indicate WARNING state, supplied in a pack of 6.</t>
  </si>
  <si>
    <t>LED 5 mm red diffusse 1500mcd 2 pcs</t>
  </si>
  <si>
    <t>One LED is used to indicate DANGER state, supplied in a pack of 2.</t>
  </si>
  <si>
    <t>Electronics</t>
  </si>
  <si>
    <t>Resistor carbon film 0.25w 330ohm (330R) 10 pcs</t>
  </si>
  <si>
    <t>Three resistor are used to limit current through the status LEDs, supplied in a pack of 10.</t>
  </si>
  <si>
    <t>Alarm</t>
  </si>
  <si>
    <t>Active piezo buzzer modul 3.3-5v</t>
  </si>
  <si>
    <t>Provides an audible warning when the system detects a dangerous situation.</t>
  </si>
  <si>
    <t>Sensor</t>
  </si>
  <si>
    <t>IR Break Beam Sensor - 5mm LEDs</t>
  </si>
  <si>
    <t>Detects when a person crosses a safety-zone boundary by sensing an interruption of the IR beam.</t>
  </si>
  <si>
    <t>IR barrier transmitter/receiver OPB100Z</t>
  </si>
  <si>
    <t>Longer-range IR break-beam sensor used to detect crossing of the physical safety boundary during the demonstration</t>
  </si>
  <si>
    <t>Display</t>
  </si>
  <si>
    <t>LCD 2x16 char yellow-green(black 3.3/5v -I2C</t>
  </si>
  <si>
    <t>Displays the current safety status and indicates when a train is approaching</t>
  </si>
  <si>
    <t>Input</t>
  </si>
  <si>
    <t>Tactile switch PCB 12x12x7mm 2.55N 2pcs</t>
  </si>
  <si>
    <t>One switch is used to simulate an external signal indicating that a train is approaching, supplies in a pack of 2.</t>
  </si>
  <si>
    <t>Marking</t>
  </si>
  <si>
    <t>Outdoor masking tape, yellow construction tape, 50 mm x 33 m</t>
  </si>
  <si>
    <t>Clas Ohlson</t>
  </si>
  <si>
    <t>41-4060</t>
  </si>
  <si>
    <t>Marks the yellow safety boundary used during the demonstration</t>
  </si>
  <si>
    <t>IR sensor extension cable-TBD</t>
  </si>
  <si>
    <t>TBD</t>
  </si>
  <si>
    <t>Extension cable for the long-range IR sensor. Cable type and required length to be confirmed after hardware setup.</t>
  </si>
  <si>
    <t>Shipping</t>
  </si>
  <si>
    <t>Electrokit order</t>
  </si>
  <si>
    <t>Shipping cost for components ordered from Electrokit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</si>
</sst>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171717"/>
      <name val="Calibri"/>
      <scheme val="minor"/>
    </font>
    <font>
      <sz val="11"/>
      <color rgb="FF242424"/>
      <name val="Aptos Narrow"/>
      <charset val="1"/>
    </font>
    <font>
      <b/>
      <u/>
      <sz val="18"/>
      <color rgb="FF000000"/>
      <name val="Calibri"/>
      <scheme val="minor"/>
    </font>
    <font>
      <b/>
      <sz val="11"/>
      <color rgb="FF242424"/>
      <name val="Aptos Narrow"/>
    </font>
    <font>
      <i/>
      <sz val="12"/>
      <color theme="1" tint="0.499984740745262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0" fillId="0" borderId="0" xfId="0" applyBorder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3" fillId="3" borderId="0" xfId="0" applyFont="1" applyFill="1" applyBorder="1"/>
    <xf numFmtId="0" fontId="3" fillId="0" borderId="0" xfId="0" applyFont="1" applyFill="1" applyBorder="1"/>
    <xf numFmtId="0" fontId="0" fillId="0" borderId="0" xfId="0" applyFill="1"/>
    <xf numFmtId="0" fontId="3" fillId="0" borderId="2" xfId="0" applyFont="1" applyBorder="1"/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2" fontId="0" fillId="0" borderId="1" xfId="0" applyNumberFormat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2" fontId="0" fillId="4" borderId="1" xfId="0" applyNumberFormat="1" applyFill="1" applyBorder="1" applyAlignment="1">
      <alignment horizontal="right"/>
    </xf>
    <xf numFmtId="0" fontId="1" fillId="4" borderId="1" xfId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ectrokit.com/en/motstand-kolfilm-0.25w-330ohm-330r" TargetMode="External"/><Relationship Id="rId13" Type="http://schemas.openxmlformats.org/officeDocument/2006/relationships/hyperlink" Target="https://www.clasohlson.com/se/Maskeringstejp-utomhus,-gul-byggtejp,-50-mm-x-33-m/p/41-4060" TargetMode="External"/><Relationship Id="rId3" Type="http://schemas.openxmlformats.org/officeDocument/2006/relationships/hyperlink" Target="https://www.electrokit.com/en/usb-kabel-a-hane-micro-b-hane-60cm" TargetMode="External"/><Relationship Id="rId7" Type="http://schemas.openxmlformats.org/officeDocument/2006/relationships/hyperlink" Target="https://www.electrokit.com/en/led-5mm-rod-diffus-1500mcd" TargetMode="External"/><Relationship Id="rId12" Type="http://schemas.openxmlformats.org/officeDocument/2006/relationships/hyperlink" Target="https://www.electrokit.com/en/taktil-omkopplare-pcb-12x12x7mm-2.55n" TargetMode="External"/><Relationship Id="rId2" Type="http://schemas.openxmlformats.org/officeDocument/2006/relationships/hyperlink" Target="https://www.electrokit.com/en/kopplingsdack-840-anslutningar" TargetMode="External"/><Relationship Id="rId1" Type="http://schemas.openxmlformats.org/officeDocument/2006/relationships/hyperlink" Target="https://www.electrokit.com/en/raspberry-pi-pico-2-wh" TargetMode="External"/><Relationship Id="rId6" Type="http://schemas.openxmlformats.org/officeDocument/2006/relationships/hyperlink" Target="https://www.electrokit.com/en/led-5mm-gul-klar-10000mcd" TargetMode="External"/><Relationship Id="rId11" Type="http://schemas.openxmlformats.org/officeDocument/2006/relationships/hyperlink" Target="https://www.electrokit.com/en/lcd-2x16-char-yellow-green/black-3.3/5v-i2c" TargetMode="External"/><Relationship Id="rId5" Type="http://schemas.openxmlformats.org/officeDocument/2006/relationships/hyperlink" Target="https://www.electrokit.com/en/led-5mm-gron-diffus-80mcd" TargetMode="External"/><Relationship Id="rId10" Type="http://schemas.openxmlformats.org/officeDocument/2006/relationships/hyperlink" Target="https://www.electrokit.com/en/ir-barriar-sandare/mottagare-5mm" TargetMode="External"/><Relationship Id="rId4" Type="http://schemas.openxmlformats.org/officeDocument/2006/relationships/hyperlink" Target="https://www.electrokit.com/en/kopplingstrad-byglar-for-kopplingsdack-mjuka-65st" TargetMode="External"/><Relationship Id="rId9" Type="http://schemas.openxmlformats.org/officeDocument/2006/relationships/hyperlink" Target="https://www.electrokit.com/en/piezohogtalare-aktiv" TargetMode="External"/><Relationship Id="rId14" Type="http://schemas.openxmlformats.org/officeDocument/2006/relationships/hyperlink" Target="https://www.electrokit.com/en/ir-barriar-sandare/mottagare-opb100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B13" sqref="B13"/>
    </sheetView>
  </sheetViews>
  <sheetFormatPr defaultRowHeight="15"/>
  <cols>
    <col min="1" max="1" width="20.5703125" customWidth="1"/>
    <col min="2" max="2" width="24.5703125" customWidth="1"/>
    <col min="3" max="3" width="8.7109375" customWidth="1"/>
    <col min="4" max="4" width="13" customWidth="1"/>
    <col min="5" max="5" width="11.140625" customWidth="1"/>
    <col min="6" max="6" width="12.5703125" customWidth="1"/>
    <col min="7" max="7" width="57.85546875" customWidth="1"/>
  </cols>
  <sheetData>
    <row r="2" spans="1:7" ht="23.25">
      <c r="A2" s="5" t="s">
        <v>0</v>
      </c>
      <c r="B2" s="5"/>
      <c r="C2" s="5"/>
      <c r="D2" s="5"/>
      <c r="E2" s="5"/>
      <c r="F2" s="5"/>
      <c r="G2" s="5"/>
    </row>
    <row r="3" spans="1:7" ht="23.25">
      <c r="D3" s="1"/>
    </row>
    <row r="4" spans="1:7" ht="15.75">
      <c r="A4" s="7" t="s">
        <v>1</v>
      </c>
      <c r="B4" s="7"/>
      <c r="C4" s="7"/>
      <c r="D4" s="7"/>
      <c r="E4" s="7"/>
      <c r="F4" s="7"/>
      <c r="G4" s="7"/>
    </row>
    <row r="5" spans="1:7" ht="15.75">
      <c r="B5" s="4"/>
      <c r="C5" s="3"/>
      <c r="D5" s="8"/>
      <c r="F5" s="6"/>
    </row>
    <row r="6" spans="1:7" ht="15.75">
      <c r="B6" s="4"/>
      <c r="C6" s="3"/>
      <c r="D6" s="8"/>
      <c r="F6" s="6"/>
    </row>
    <row r="7" spans="1:7" s="2" customFormat="1">
      <c r="B7" s="4"/>
      <c r="C7" s="4"/>
      <c r="D7" s="4"/>
    </row>
    <row r="8" spans="1:7">
      <c r="A8" s="10" t="s">
        <v>2</v>
      </c>
      <c r="B8" s="10"/>
      <c r="C8" s="11"/>
      <c r="D8" s="12"/>
      <c r="E8" s="12"/>
      <c r="F8" s="12"/>
      <c r="G8" s="12"/>
    </row>
    <row r="9" spans="1:7" s="2" customFormat="1">
      <c r="A9" s="4" t="s">
        <v>3</v>
      </c>
      <c r="B9" s="9" t="s">
        <v>4</v>
      </c>
    </row>
    <row r="10" spans="1:7">
      <c r="A10" s="4" t="s">
        <v>5</v>
      </c>
      <c r="B10" s="9" t="s">
        <v>6</v>
      </c>
    </row>
    <row r="11" spans="1:7">
      <c r="A11" s="4" t="s">
        <v>7</v>
      </c>
      <c r="B11" s="9" t="s">
        <v>8</v>
      </c>
    </row>
    <row r="12" spans="1:7">
      <c r="A12" s="4" t="s">
        <v>9</v>
      </c>
      <c r="B12" s="9">
        <v>1</v>
      </c>
      <c r="G12" s="4"/>
    </row>
    <row r="13" spans="1:7">
      <c r="A13" s="3" t="s">
        <v>10</v>
      </c>
      <c r="B13" s="14">
        <f>SUM(B14/B12)</f>
        <v>657.11999999999989</v>
      </c>
    </row>
    <row r="14" spans="1:7">
      <c r="A14" s="13" t="s">
        <v>11</v>
      </c>
      <c r="B14" s="15">
        <f>SUM(C20:C36,D20:D36)</f>
        <v>657.11999999999989</v>
      </c>
    </row>
    <row r="18" spans="1:7" ht="15" customHeight="1"/>
    <row r="19" spans="1:7" s="2" customFormat="1" ht="31.5" customHeight="1">
      <c r="A19" s="17" t="s">
        <v>12</v>
      </c>
      <c r="B19" s="17" t="s">
        <v>13</v>
      </c>
      <c r="C19" s="17" t="s">
        <v>14</v>
      </c>
      <c r="D19" s="18" t="s">
        <v>15</v>
      </c>
      <c r="E19" s="17" t="s">
        <v>16</v>
      </c>
      <c r="F19" s="18" t="s">
        <v>17</v>
      </c>
      <c r="G19" s="17" t="s">
        <v>18</v>
      </c>
    </row>
    <row r="20" spans="1:7" ht="48" customHeight="1">
      <c r="A20" s="16" t="s">
        <v>19</v>
      </c>
      <c r="B20" s="19" t="s">
        <v>20</v>
      </c>
      <c r="C20" s="16">
        <f>$B$12</f>
        <v>1</v>
      </c>
      <c r="D20" s="24">
        <v>87.2</v>
      </c>
      <c r="E20" s="16" t="s">
        <v>21</v>
      </c>
      <c r="F20" s="20">
        <v>41024158</v>
      </c>
      <c r="G20" s="19" t="s">
        <v>22</v>
      </c>
    </row>
    <row r="21" spans="1:7" ht="30.75">
      <c r="A21" s="16" t="s">
        <v>23</v>
      </c>
      <c r="B21" s="19" t="s">
        <v>24</v>
      </c>
      <c r="C21" s="16">
        <f>$B$12</f>
        <v>1</v>
      </c>
      <c r="D21" s="24">
        <v>55.2</v>
      </c>
      <c r="E21" s="16" t="s">
        <v>21</v>
      </c>
      <c r="F21" s="21">
        <v>10160840</v>
      </c>
      <c r="G21" s="19" t="s">
        <v>25</v>
      </c>
    </row>
    <row r="22" spans="1:7" ht="29.25" customHeight="1">
      <c r="A22" s="16" t="s">
        <v>26</v>
      </c>
      <c r="B22" s="22" t="s">
        <v>27</v>
      </c>
      <c r="C22" s="16">
        <f>$B$12</f>
        <v>1</v>
      </c>
      <c r="D22" s="24">
        <v>22.4</v>
      </c>
      <c r="E22" s="16" t="s">
        <v>21</v>
      </c>
      <c r="F22" s="21">
        <v>41022181</v>
      </c>
      <c r="G22" s="19" t="s">
        <v>28</v>
      </c>
    </row>
    <row r="23" spans="1:7" ht="45.75">
      <c r="A23" s="16" t="s">
        <v>29</v>
      </c>
      <c r="B23" s="19" t="s">
        <v>30</v>
      </c>
      <c r="C23" s="16">
        <f>$B$12</f>
        <v>1</v>
      </c>
      <c r="D23" s="24">
        <v>36</v>
      </c>
      <c r="E23" s="16" t="s">
        <v>21</v>
      </c>
      <c r="F23" s="21">
        <v>41003181</v>
      </c>
      <c r="G23" s="19" t="s">
        <v>31</v>
      </c>
    </row>
    <row r="24" spans="1:7" ht="30.75">
      <c r="A24" s="16" t="s">
        <v>32</v>
      </c>
      <c r="B24" s="19" t="s">
        <v>33</v>
      </c>
      <c r="C24" s="16">
        <f>ROUNDUP($B$12/2,0)</f>
        <v>1</v>
      </c>
      <c r="D24" s="24">
        <v>8</v>
      </c>
      <c r="E24" s="16" t="s">
        <v>21</v>
      </c>
      <c r="F24" s="21">
        <v>40307023</v>
      </c>
      <c r="G24" s="19" t="s">
        <v>34</v>
      </c>
    </row>
    <row r="25" spans="1:7" ht="30.75">
      <c r="A25" s="16" t="s">
        <v>32</v>
      </c>
      <c r="B25" s="19" t="s">
        <v>35</v>
      </c>
      <c r="C25" s="16">
        <f>ROUNDUP($B$12/6,0)</f>
        <v>1</v>
      </c>
      <c r="D25" s="24">
        <v>9.6</v>
      </c>
      <c r="E25" s="16" t="s">
        <v>21</v>
      </c>
      <c r="F25" s="21">
        <v>40307031</v>
      </c>
      <c r="G25" s="19" t="s">
        <v>36</v>
      </c>
    </row>
    <row r="26" spans="1:7" ht="30.75">
      <c r="A26" s="16" t="s">
        <v>32</v>
      </c>
      <c r="B26" s="19" t="s">
        <v>37</v>
      </c>
      <c r="C26" s="16">
        <f>ROUNDUP($B$12/2,0)</f>
        <v>1</v>
      </c>
      <c r="D26" s="24">
        <v>8</v>
      </c>
      <c r="E26" s="16" t="s">
        <v>21</v>
      </c>
      <c r="F26" s="21">
        <v>40307020</v>
      </c>
      <c r="G26" s="19" t="s">
        <v>38</v>
      </c>
    </row>
    <row r="27" spans="1:7" ht="30.75">
      <c r="A27" s="16" t="s">
        <v>39</v>
      </c>
      <c r="B27" s="19" t="s">
        <v>40</v>
      </c>
      <c r="C27" s="16">
        <f>ROUNDUP(($B$12*3)/10,0)</f>
        <v>1</v>
      </c>
      <c r="D27" s="24">
        <v>8</v>
      </c>
      <c r="E27" s="16" t="s">
        <v>21</v>
      </c>
      <c r="F27" s="21">
        <v>40810233</v>
      </c>
      <c r="G27" s="19" t="s">
        <v>41</v>
      </c>
    </row>
    <row r="28" spans="1:7" ht="30.75">
      <c r="A28" s="16" t="s">
        <v>42</v>
      </c>
      <c r="B28" s="19" t="s">
        <v>43</v>
      </c>
      <c r="C28" s="16">
        <f>$B$12</f>
        <v>1</v>
      </c>
      <c r="D28" s="24">
        <v>14.4</v>
      </c>
      <c r="E28" s="16" t="s">
        <v>21</v>
      </c>
      <c r="F28" s="21">
        <v>41015713</v>
      </c>
      <c r="G28" s="19" t="s">
        <v>44</v>
      </c>
    </row>
    <row r="29" spans="1:7" ht="30.75">
      <c r="A29" s="16" t="s">
        <v>45</v>
      </c>
      <c r="B29" s="19" t="s">
        <v>46</v>
      </c>
      <c r="C29" s="16">
        <f>$B$12</f>
        <v>1</v>
      </c>
      <c r="D29" s="24">
        <v>95.2</v>
      </c>
      <c r="E29" s="16" t="s">
        <v>21</v>
      </c>
      <c r="F29" s="21">
        <v>41015028</v>
      </c>
      <c r="G29" s="19" t="s">
        <v>47</v>
      </c>
    </row>
    <row r="30" spans="1:7" ht="42" customHeight="1">
      <c r="A30" s="16" t="s">
        <v>45</v>
      </c>
      <c r="B30" s="19" t="s">
        <v>48</v>
      </c>
      <c r="C30" s="16">
        <f>$B$12</f>
        <v>1</v>
      </c>
      <c r="D30" s="24">
        <v>119.2</v>
      </c>
      <c r="E30" s="16" t="s">
        <v>21</v>
      </c>
      <c r="F30" s="21">
        <v>41017035</v>
      </c>
      <c r="G30" s="19" t="s">
        <v>49</v>
      </c>
    </row>
    <row r="31" spans="1:7" ht="30.75">
      <c r="A31" s="16" t="s">
        <v>50</v>
      </c>
      <c r="B31" s="19" t="s">
        <v>51</v>
      </c>
      <c r="C31" s="16">
        <f>$B$12</f>
        <v>1</v>
      </c>
      <c r="D31" s="24">
        <v>95.2</v>
      </c>
      <c r="E31" s="16" t="s">
        <v>21</v>
      </c>
      <c r="F31" s="21">
        <v>41037104</v>
      </c>
      <c r="G31" s="19" t="s">
        <v>52</v>
      </c>
    </row>
    <row r="32" spans="1:7" ht="30.75">
      <c r="A32" s="16" t="s">
        <v>53</v>
      </c>
      <c r="B32" s="19" t="s">
        <v>54</v>
      </c>
      <c r="C32" s="16">
        <f>ROUNDUP($B$12/2,0)</f>
        <v>1</v>
      </c>
      <c r="D32" s="24">
        <v>8.8000000000000007</v>
      </c>
      <c r="E32" s="16" t="s">
        <v>21</v>
      </c>
      <c r="F32" s="21">
        <v>41024494</v>
      </c>
      <c r="G32" s="19" t="s">
        <v>55</v>
      </c>
    </row>
    <row r="33" spans="1:7" ht="45.75">
      <c r="A33" s="16" t="s">
        <v>56</v>
      </c>
      <c r="B33" s="19" t="s">
        <v>57</v>
      </c>
      <c r="C33" s="16">
        <f>$B$12</f>
        <v>1</v>
      </c>
      <c r="D33" s="24">
        <v>39.92</v>
      </c>
      <c r="E33" s="16" t="s">
        <v>58</v>
      </c>
      <c r="F33" s="21" t="s">
        <v>59</v>
      </c>
      <c r="G33" s="19" t="s">
        <v>60</v>
      </c>
    </row>
    <row r="34" spans="1:7" s="12" customFormat="1" ht="30.75">
      <c r="A34" s="25" t="s">
        <v>29</v>
      </c>
      <c r="B34" s="26" t="s">
        <v>61</v>
      </c>
      <c r="C34" s="25"/>
      <c r="D34" s="27"/>
      <c r="E34" s="25" t="s">
        <v>62</v>
      </c>
      <c r="F34" s="28"/>
      <c r="G34" s="26" t="s">
        <v>63</v>
      </c>
    </row>
    <row r="35" spans="1:7">
      <c r="A35" s="16"/>
      <c r="B35" s="19"/>
      <c r="C35" s="16"/>
      <c r="D35" s="24"/>
      <c r="E35" s="16"/>
      <c r="F35" s="20"/>
      <c r="G35" s="19"/>
    </row>
    <row r="36" spans="1:7">
      <c r="A36" s="16" t="s">
        <v>64</v>
      </c>
      <c r="B36" s="23" t="s">
        <v>65</v>
      </c>
      <c r="C36" s="16">
        <v>1</v>
      </c>
      <c r="D36" s="24">
        <v>35</v>
      </c>
      <c r="E36" s="16" t="s">
        <v>21</v>
      </c>
      <c r="F36" s="16"/>
      <c r="G36" s="19" t="s">
        <v>66</v>
      </c>
    </row>
  </sheetData>
  <mergeCells count="2">
    <mergeCell ref="A4:G4"/>
    <mergeCell ref="A2:G2"/>
  </mergeCells>
  <hyperlinks>
    <hyperlink ref="F20" r:id="rId1" display="41024158" xr:uid="{90504C56-320E-4C60-B0A3-9932908B96CE}"/>
    <hyperlink ref="F21" r:id="rId2" display="10160840" xr:uid="{EE2C67E7-A7DD-4229-BFE4-64B7D95979A7}"/>
    <hyperlink ref="F22" r:id="rId3" display="41022181" xr:uid="{5A70E913-84EB-4F0B-807D-46E1014384AF}"/>
    <hyperlink ref="F23" r:id="rId4" display="41003181" xr:uid="{52256927-22BB-4D9D-94D9-55551EF68C6C}"/>
    <hyperlink ref="F24" r:id="rId5" display="40307023" xr:uid="{8DC3DCEE-7971-4960-AEA1-40E681013282}"/>
    <hyperlink ref="F25" r:id="rId6" display="40307031" xr:uid="{A8E40DB5-9C26-4267-B913-04B5A9FB00D5}"/>
    <hyperlink ref="F26" r:id="rId7" display="40307020" xr:uid="{763B38B0-34A1-4FB4-B5E6-16501CE4C54B}"/>
    <hyperlink ref="F27" r:id="rId8" display="40810233" xr:uid="{EAFA2F55-DDFA-4B49-974B-BC4B1C0B0AD2}"/>
    <hyperlink ref="F28" r:id="rId9" display="41015713" xr:uid="{DC074F3D-50E1-4193-B771-4D53FA061BC1}"/>
    <hyperlink ref="F29" r:id="rId10" display="41015028" xr:uid="{914BBFE6-15C6-49EF-A2C2-5E5F8AB4EAEB}"/>
    <hyperlink ref="F31" r:id="rId11" display="41037104" xr:uid="{B759A3C4-46DA-441C-813B-CC48826F7FC2}"/>
    <hyperlink ref="F32" r:id="rId12" display="41024494" xr:uid="{C72CC122-5795-4574-94B5-55EBD66D1091}"/>
    <hyperlink ref="F33" r:id="rId13" xr:uid="{2DECE53B-D13B-40CF-91FC-E068B5070AC8}"/>
    <hyperlink ref="F30" r:id="rId14" display="41017035" xr:uid="{5E1FED99-2BA4-40F2-8DCD-A1E622389D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Marian De Silva</cp:lastModifiedBy>
  <cp:revision/>
  <dcterms:created xsi:type="dcterms:W3CDTF">2026-09-11T12:40:33Z</dcterms:created>
  <dcterms:modified xsi:type="dcterms:W3CDTF">2026-09-12T10:38:55Z</dcterms:modified>
  <cp:category/>
  <cp:contentStatus/>
</cp:coreProperties>
</file>