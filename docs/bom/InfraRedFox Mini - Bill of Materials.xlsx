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502"/>
  <workbookPr defaultThemeVersion="166925"/>
  <xr:revisionPtr revIDLastSave="0" documentId="8_{C8A2E239-40F8-47FB-8A3F-6DC80D47371C}" xr6:coauthVersionLast="47" xr6:coauthVersionMax="47" xr10:uidLastSave="{00000000-0000-0000-0000-000000000000}"/>
  <bookViews>
    <workbookView xWindow="240" yWindow="105" windowWidth="14805" windowHeight="8010" xr2:uid="{00000000-000D-0000-FFFF-FFFF00000000}"/>
  </bookViews>
  <sheets>
    <sheet name="Blad1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C35" i="1" l="1"/>
  <c r="C34" i="1"/>
  <c r="C33" i="1"/>
  <c r="C30" i="1"/>
  <c r="C29" i="1"/>
  <c r="C31" i="1"/>
  <c r="C28" i="1"/>
  <c r="C22" i="1"/>
  <c r="C21" i="1"/>
  <c r="C20" i="1"/>
  <c r="C32" i="1"/>
  <c r="C27" i="1"/>
  <c r="C26" i="1"/>
  <c r="C25" i="1"/>
  <c r="C24" i="1"/>
  <c r="C23" i="1"/>
  <c r="B14" i="1"/>
  <c r="B13" i="1" s="1"/>
</calcChain>
</file>

<file path=xl/sharedStrings.xml><?xml version="1.0" encoding="utf-8"?>
<sst xmlns="http://schemas.openxmlformats.org/spreadsheetml/2006/main" count="89" uniqueCount="70">
  <si>
    <t>InfraredFox Mini - Bill of Materials</t>
  </si>
  <si>
    <t>Edge Computing Safety System - Railway/Metro Platform Prototype</t>
  </si>
  <si>
    <t>Project information:</t>
  </si>
  <si>
    <t>Project</t>
  </si>
  <si>
    <t>InfraRedFox Mini</t>
  </si>
  <si>
    <t>Course</t>
  </si>
  <si>
    <t>Edge Computing</t>
  </si>
  <si>
    <t>Team</t>
  </si>
  <si>
    <t>Marian, Mona &amp; Alessandro</t>
  </si>
  <si>
    <t>Number of prototypes</t>
  </si>
  <si>
    <t>Cost per prototype</t>
  </si>
  <si>
    <t>Total cost</t>
  </si>
  <si>
    <t>Category</t>
  </si>
  <si>
    <t>Component</t>
  </si>
  <si>
    <t>Quantity</t>
  </si>
  <si>
    <t>Unit Price(SEK excl. VAT)</t>
  </si>
  <si>
    <t>Supplier</t>
  </si>
  <si>
    <t>Article No. / Product Link</t>
  </si>
  <si>
    <t>Motivation</t>
  </si>
  <si>
    <t>Microcontroller</t>
  </si>
  <si>
    <t>Raspberry Pi Pico 2 WH</t>
  </si>
  <si>
    <t>Electrokit</t>
  </si>
  <si>
    <t>Main edge device running MicroPython, processing sensor inputs and publishing safety data via MQTT. Pre-soldered headers allow direct breadboard connection.</t>
  </si>
  <si>
    <t>Prototyping</t>
  </si>
  <si>
    <t>Solderless Breadboard 840 tie-points</t>
  </si>
  <si>
    <t>Provides a solderless platform for connecting the Pico, sensors and output components during prototyping</t>
  </si>
  <si>
    <t>Connectivity/Power</t>
  </si>
  <si>
    <t>USB-kabel A-hane - micro B hane 60cm</t>
  </si>
  <si>
    <t>Connects the Raspberry Pi Pico WH to a computer for programming, data transfer and power</t>
  </si>
  <si>
    <t>Wiring</t>
  </si>
  <si>
    <t>Jumper wire for breadboard - smooth 65 pcs</t>
  </si>
  <si>
    <t>Used to connect the Pico, sensors and other electronic components on the breadboard. Multiple wires are required..., supplied as a pack of 65.</t>
  </si>
  <si>
    <t>Indicator</t>
  </si>
  <si>
    <t>LED 5 mm green diffuse 80 mcd 2 pcs</t>
  </si>
  <si>
    <t>One LED is used to indicate SAFE state, supplied in a pack of 2.</t>
  </si>
  <si>
    <t>LED 5mm yellow clear 10000mcd 6pcs</t>
  </si>
  <si>
    <t>One LED is used to indicate WARNING state, supplied in a pack of 6.</t>
  </si>
  <si>
    <t>LED 5 mm red diffusse 1500mcd 2 pcs</t>
  </si>
  <si>
    <t>One LED is used to indicate DANGER state, supplied in a pack of 2.</t>
  </si>
  <si>
    <t>Electronics</t>
  </si>
  <si>
    <t>Resistor carbon film 0.25w 330ohm (330R) 10 pcs</t>
  </si>
  <si>
    <t>Three resistor are used to limit current through the status LEDs, supplied in a pack of 10.</t>
  </si>
  <si>
    <t>Alarm</t>
  </si>
  <si>
    <t>Active piezo buzzer modul 3.3-5v</t>
  </si>
  <si>
    <t>Provides an audible warning when the system detects a dangerous situation.</t>
  </si>
  <si>
    <t>Sensor</t>
  </si>
  <si>
    <t>IR Break Beam Sensor - 5mm LEDs</t>
  </si>
  <si>
    <t>Detects when a person crosses a safety-zone boundary by sensing an interruption of the IR beam.</t>
  </si>
  <si>
    <t>IR barrier transmitter/receiver OPB100Z</t>
  </si>
  <si>
    <t>Longer-range IR break-beam sensor used to detect crossing of the physical safety boundary during the demonstration</t>
  </si>
  <si>
    <t>Display</t>
  </si>
  <si>
    <t>LCD 2x16 char yellow-green(black 3.3/5v -I2C</t>
  </si>
  <si>
    <t>Displays the current safety status and indicates when a train is approaching</t>
  </si>
  <si>
    <t>Input</t>
  </si>
  <si>
    <t>Tactile switch PCB 12x12x7mm 2.55N 2pcs</t>
  </si>
  <si>
    <t>One switch is used to simulate an external signal indicating that a train is approaching, supplies in a pack of 2.</t>
  </si>
  <si>
    <t>Marking</t>
  </si>
  <si>
    <t>Outdoor masking tape, yellow construction tape, 50 mm x 33 m</t>
  </si>
  <si>
    <t>Clas Ohlson</t>
  </si>
  <si>
    <t>41-4060</t>
  </si>
  <si>
    <t>Marks the yellow safety boundary used during the demonstration</t>
  </si>
  <si>
    <t>SKX cable, 2x0.75mm², 5m, white</t>
  </si>
  <si>
    <t>Biltema</t>
  </si>
  <si>
    <t>35-432</t>
  </si>
  <si>
    <t>Extension cable for the long-range IR sensor, allowing flexible sensor placement in the prototype.</t>
  </si>
  <si>
    <t>Trimmer pot 3386P 10k (103) with knob</t>
  </si>
  <si>
    <t>Adjust the contrast of the LCD display.</t>
  </si>
  <si>
    <t>Shipping</t>
  </si>
  <si>
    <t>Electrokit order</t>
  </si>
  <si>
    <t>Shipping cost for components ordered from Electrokit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</si>
</sst>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8"/>
      <color rgb="FF000000"/>
      <name val="Calibri"/>
      <scheme val="minor"/>
    </font>
    <font>
      <b/>
      <sz val="11"/>
      <color theme="1"/>
      <name val="Calibri"/>
      <family val="2"/>
      <scheme val="minor"/>
    </font>
    <font>
      <sz val="11"/>
      <color rgb="FF171717"/>
      <name val="Calibri"/>
      <scheme val="minor"/>
    </font>
    <font>
      <sz val="11"/>
      <color rgb="FF242424"/>
      <name val="Aptos Narrow"/>
      <charset val="1"/>
    </font>
    <font>
      <b/>
      <u/>
      <sz val="18"/>
      <color rgb="FF000000"/>
      <name val="Calibri"/>
      <scheme val="minor"/>
    </font>
    <font>
      <b/>
      <sz val="11"/>
      <color rgb="FF242424"/>
      <name val="Aptos Narrow"/>
    </font>
    <font>
      <i/>
      <sz val="12"/>
      <color theme="1" tint="0.499984740745262"/>
      <name val="Aptos Narrow"/>
    </font>
  </fonts>
  <fills count="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9">
    <xf numFmtId="0" fontId="0" fillId="0" borderId="0" xfId="0"/>
    <xf numFmtId="0" fontId="2" fillId="0" borderId="0" xfId="0" applyFont="1"/>
    <xf numFmtId="0" fontId="3" fillId="0" borderId="0" xfId="0" applyFont="1"/>
    <xf numFmtId="0" fontId="3" fillId="0" borderId="0" xfId="0" applyFont="1" applyBorder="1"/>
    <xf numFmtId="0" fontId="0" fillId="0" borderId="0" xfId="0" applyBorder="1"/>
    <xf numFmtId="0" fontId="8" fillId="0" borderId="0" xfId="0" applyFont="1" applyAlignment="1">
      <alignment horizontal="center"/>
    </xf>
    <xf numFmtId="0" fontId="7" fillId="0" borderId="0" xfId="0" applyFont="1" applyBorder="1" applyAlignment="1">
      <alignment horizontal="center"/>
    </xf>
    <xf numFmtId="0" fontId="0" fillId="0" borderId="0" xfId="0" applyBorder="1" applyAlignment="1">
      <alignment horizontal="left"/>
    </xf>
    <xf numFmtId="0" fontId="3" fillId="3" borderId="0" xfId="0" applyFont="1" applyFill="1" applyBorder="1"/>
    <xf numFmtId="0" fontId="3" fillId="0" borderId="0" xfId="0" applyFont="1" applyFill="1" applyBorder="1"/>
    <xf numFmtId="0" fontId="0" fillId="0" borderId="0" xfId="0" applyFill="1"/>
    <xf numFmtId="0" fontId="3" fillId="0" borderId="2" xfId="0" applyFont="1" applyBorder="1"/>
    <xf numFmtId="0" fontId="3" fillId="0" borderId="0" xfId="0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3" fillId="3" borderId="1" xfId="0" applyFont="1" applyFill="1" applyBorder="1" applyAlignment="1">
      <alignment horizontal="center"/>
    </xf>
    <xf numFmtId="0" fontId="3" fillId="3" borderId="1" xfId="0" applyFont="1" applyFill="1" applyBorder="1" applyAlignment="1">
      <alignment horizontal="center" wrapText="1"/>
    </xf>
    <xf numFmtId="0" fontId="0" fillId="0" borderId="1" xfId="0" applyBorder="1" applyAlignment="1">
      <alignment horizontal="center" wrapText="1"/>
    </xf>
    <xf numFmtId="0" fontId="1" fillId="0" borderId="1" xfId="1" applyBorder="1" applyAlignment="1">
      <alignment horizontal="center"/>
    </xf>
    <xf numFmtId="0" fontId="1" fillId="0" borderId="1" xfId="1" applyBorder="1" applyAlignment="1">
      <alignment horizontal="center" wrapText="1"/>
    </xf>
    <xf numFmtId="0" fontId="4" fillId="2" borderId="1" xfId="0" applyFont="1" applyFill="1" applyBorder="1" applyAlignment="1">
      <alignment horizontal="center" wrapText="1"/>
    </xf>
    <xf numFmtId="0" fontId="5" fillId="0" borderId="1" xfId="0" applyFont="1" applyBorder="1" applyAlignment="1">
      <alignment horizontal="center" wrapText="1"/>
    </xf>
    <xf numFmtId="2" fontId="0" fillId="0" borderId="1" xfId="0" applyNumberFormat="1" applyBorder="1" applyAlignment="1">
      <alignment horizontal="right"/>
    </xf>
    <xf numFmtId="0" fontId="8" fillId="0" borderId="0" xfId="0" applyFont="1" applyAlignment="1">
      <alignment horizontal="center"/>
    </xf>
    <xf numFmtId="0" fontId="6" fillId="0" borderId="0" xfId="0" applyFont="1" applyAlignment="1">
      <alignment horizontal="center"/>
    </xf>
    <xf numFmtId="0" fontId="0" fillId="0" borderId="1" xfId="0" applyFill="1" applyBorder="1" applyAlignment="1">
      <alignment horizontal="center"/>
    </xf>
    <xf numFmtId="0" fontId="0" fillId="0" borderId="1" xfId="0" applyFill="1" applyBorder="1" applyAlignment="1">
      <alignment horizontal="center" wrapText="1"/>
    </xf>
    <xf numFmtId="2" fontId="0" fillId="0" borderId="1" xfId="0" applyNumberFormat="1" applyFill="1" applyBorder="1" applyAlignment="1">
      <alignment horizontal="right"/>
    </xf>
    <xf numFmtId="0" fontId="1" fillId="0" borderId="1" xfId="1" applyFill="1" applyBorder="1" applyAlignment="1">
      <alignment horizontal="center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electrokit.com/en/motstand-kolfilm-0.25w-330ohm-330r" TargetMode="External"/><Relationship Id="rId13" Type="http://schemas.openxmlformats.org/officeDocument/2006/relationships/hyperlink" Target="https://www.clasohlson.com/se/Maskeringstejp-utomhus,-gul-byggtejp,-50-mm-x-33-m/p/41-4060" TargetMode="External"/><Relationship Id="rId3" Type="http://schemas.openxmlformats.org/officeDocument/2006/relationships/hyperlink" Target="https://www.electrokit.com/en/usb-kabel-a-hane-micro-b-hane-60cm" TargetMode="External"/><Relationship Id="rId7" Type="http://schemas.openxmlformats.org/officeDocument/2006/relationships/hyperlink" Target="https://www.electrokit.com/en/led-5mm-rod-diffus-1500mcd" TargetMode="External"/><Relationship Id="rId12" Type="http://schemas.openxmlformats.org/officeDocument/2006/relationships/hyperlink" Target="https://www.electrokit.com/en/taktil-omkopplare-pcb-12x12x7mm-2.55n" TargetMode="External"/><Relationship Id="rId2" Type="http://schemas.openxmlformats.org/officeDocument/2006/relationships/hyperlink" Target="https://www.electrokit.com/en/kopplingsdack-840-anslutningar" TargetMode="External"/><Relationship Id="rId16" Type="http://schemas.openxmlformats.org/officeDocument/2006/relationships/hyperlink" Target="https://www.electrokit.com/en/trimpot-3386p-10k-103med-ratt" TargetMode="External"/><Relationship Id="rId1" Type="http://schemas.openxmlformats.org/officeDocument/2006/relationships/hyperlink" Target="https://www.electrokit.com/en/raspberry-pi-pico-2-wh" TargetMode="External"/><Relationship Id="rId6" Type="http://schemas.openxmlformats.org/officeDocument/2006/relationships/hyperlink" Target="https://www.electrokit.com/en/led-5mm-gul-klar-10000mcd" TargetMode="External"/><Relationship Id="rId11" Type="http://schemas.openxmlformats.org/officeDocument/2006/relationships/hyperlink" Target="https://www.electrokit.com/en/lcd-2x16-char-yellow-green/black-3.3/5v-i2c" TargetMode="External"/><Relationship Id="rId5" Type="http://schemas.openxmlformats.org/officeDocument/2006/relationships/hyperlink" Target="https://www.electrokit.com/en/led-5mm-gron-diffus-80mcd" TargetMode="External"/><Relationship Id="rId15" Type="http://schemas.openxmlformats.org/officeDocument/2006/relationships/hyperlink" Target="https://www.biltema.se/bygg/elinstallationer/elkablar/skx/skx-kabel-2-x-075-mm2-5-m-vit-2000062469" TargetMode="External"/><Relationship Id="rId10" Type="http://schemas.openxmlformats.org/officeDocument/2006/relationships/hyperlink" Target="https://www.electrokit.com/en/ir-barriar-sandare/mottagare-5mm" TargetMode="External"/><Relationship Id="rId4" Type="http://schemas.openxmlformats.org/officeDocument/2006/relationships/hyperlink" Target="https://www.electrokit.com/en/kopplingstrad-byglar-for-kopplingsdack-mjuka-65st" TargetMode="External"/><Relationship Id="rId9" Type="http://schemas.openxmlformats.org/officeDocument/2006/relationships/hyperlink" Target="https://www.electrokit.com/en/piezohogtalare-aktiv" TargetMode="External"/><Relationship Id="rId14" Type="http://schemas.openxmlformats.org/officeDocument/2006/relationships/hyperlink" Target="https://www.electrokit.com/en/ir-barriar-sandare/mottagare-opb100z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G37"/>
  <sheetViews>
    <sheetView tabSelected="1" topLeftCell="A32" workbookViewId="0">
      <selection activeCell="C35" sqref="C35"/>
    </sheetView>
  </sheetViews>
  <sheetFormatPr defaultRowHeight="15"/>
  <cols>
    <col min="1" max="1" width="20.5703125" customWidth="1"/>
    <col min="2" max="2" width="24.5703125" customWidth="1"/>
    <col min="3" max="3" width="8.7109375" customWidth="1"/>
    <col min="4" max="4" width="13" customWidth="1"/>
    <col min="5" max="5" width="11.140625" customWidth="1"/>
    <col min="6" max="6" width="12.5703125" customWidth="1"/>
    <col min="7" max="7" width="57.85546875" customWidth="1"/>
  </cols>
  <sheetData>
    <row r="2" spans="1:7" ht="23.25">
      <c r="A2" s="24" t="s">
        <v>0</v>
      </c>
      <c r="B2" s="24"/>
      <c r="C2" s="24"/>
      <c r="D2" s="24"/>
      <c r="E2" s="24"/>
      <c r="F2" s="24"/>
      <c r="G2" s="24"/>
    </row>
    <row r="3" spans="1:7" ht="23.25">
      <c r="D3" s="1"/>
    </row>
    <row r="4" spans="1:7" ht="15.75">
      <c r="A4" s="23" t="s">
        <v>1</v>
      </c>
      <c r="B4" s="23"/>
      <c r="C4" s="23"/>
      <c r="D4" s="23"/>
      <c r="E4" s="23"/>
      <c r="F4" s="23"/>
      <c r="G4" s="23"/>
    </row>
    <row r="5" spans="1:7" ht="15.75">
      <c r="B5" s="4"/>
      <c r="C5" s="3"/>
      <c r="D5" s="6"/>
      <c r="F5" s="5"/>
    </row>
    <row r="6" spans="1:7" ht="15.75">
      <c r="B6" s="4"/>
      <c r="C6" s="3"/>
      <c r="D6" s="6"/>
      <c r="F6" s="5"/>
    </row>
    <row r="7" spans="1:7" s="2" customFormat="1">
      <c r="B7" s="4"/>
      <c r="C7" s="4"/>
      <c r="D7" s="4"/>
    </row>
    <row r="8" spans="1:7">
      <c r="A8" s="8" t="s">
        <v>2</v>
      </c>
      <c r="B8" s="8"/>
      <c r="C8" s="9"/>
      <c r="D8" s="10"/>
      <c r="E8" s="10"/>
      <c r="F8" s="10"/>
      <c r="G8" s="10"/>
    </row>
    <row r="9" spans="1:7" s="2" customFormat="1">
      <c r="A9" s="4" t="s">
        <v>3</v>
      </c>
      <c r="B9" s="7" t="s">
        <v>4</v>
      </c>
    </row>
    <row r="10" spans="1:7">
      <c r="A10" s="4" t="s">
        <v>5</v>
      </c>
      <c r="B10" s="7" t="s">
        <v>6</v>
      </c>
    </row>
    <row r="11" spans="1:7">
      <c r="A11" s="4" t="s">
        <v>7</v>
      </c>
      <c r="B11" s="7" t="s">
        <v>8</v>
      </c>
    </row>
    <row r="12" spans="1:7">
      <c r="A12" s="4" t="s">
        <v>9</v>
      </c>
      <c r="B12" s="7">
        <v>1</v>
      </c>
      <c r="G12" s="4"/>
    </row>
    <row r="13" spans="1:7">
      <c r="A13" s="3" t="s">
        <v>10</v>
      </c>
      <c r="B13" s="12">
        <f>SUM(B14/B12)</f>
        <v>703.03999999999985</v>
      </c>
    </row>
    <row r="14" spans="1:7">
      <c r="A14" s="11" t="s">
        <v>11</v>
      </c>
      <c r="B14" s="13">
        <f>SUM(C20:C37,D20:D37)</f>
        <v>703.03999999999985</v>
      </c>
    </row>
    <row r="18" spans="1:7" ht="15" customHeight="1"/>
    <row r="19" spans="1:7" s="2" customFormat="1" ht="31.5" customHeight="1">
      <c r="A19" s="15" t="s">
        <v>12</v>
      </c>
      <c r="B19" s="15" t="s">
        <v>13</v>
      </c>
      <c r="C19" s="15" t="s">
        <v>14</v>
      </c>
      <c r="D19" s="16" t="s">
        <v>15</v>
      </c>
      <c r="E19" s="15" t="s">
        <v>16</v>
      </c>
      <c r="F19" s="16" t="s">
        <v>17</v>
      </c>
      <c r="G19" s="15" t="s">
        <v>18</v>
      </c>
    </row>
    <row r="20" spans="1:7" ht="48" customHeight="1">
      <c r="A20" s="14" t="s">
        <v>19</v>
      </c>
      <c r="B20" s="17" t="s">
        <v>20</v>
      </c>
      <c r="C20" s="14">
        <f>$B$12</f>
        <v>1</v>
      </c>
      <c r="D20" s="22">
        <v>87.2</v>
      </c>
      <c r="E20" s="14" t="s">
        <v>21</v>
      </c>
      <c r="F20" s="18">
        <v>41024158</v>
      </c>
      <c r="G20" s="17" t="s">
        <v>22</v>
      </c>
    </row>
    <row r="21" spans="1:7" ht="30.75">
      <c r="A21" s="14" t="s">
        <v>23</v>
      </c>
      <c r="B21" s="17" t="s">
        <v>24</v>
      </c>
      <c r="C21" s="14">
        <f>$B$12</f>
        <v>1</v>
      </c>
      <c r="D21" s="22">
        <v>55.2</v>
      </c>
      <c r="E21" s="14" t="s">
        <v>21</v>
      </c>
      <c r="F21" s="19">
        <v>10160840</v>
      </c>
      <c r="G21" s="17" t="s">
        <v>25</v>
      </c>
    </row>
    <row r="22" spans="1:7" ht="29.25" customHeight="1">
      <c r="A22" s="14" t="s">
        <v>26</v>
      </c>
      <c r="B22" s="20" t="s">
        <v>27</v>
      </c>
      <c r="C22" s="14">
        <f>$B$12</f>
        <v>1</v>
      </c>
      <c r="D22" s="22">
        <v>22.4</v>
      </c>
      <c r="E22" s="14" t="s">
        <v>21</v>
      </c>
      <c r="F22" s="19">
        <v>41022181</v>
      </c>
      <c r="G22" s="17" t="s">
        <v>28</v>
      </c>
    </row>
    <row r="23" spans="1:7" ht="45.75">
      <c r="A23" s="14" t="s">
        <v>29</v>
      </c>
      <c r="B23" s="17" t="s">
        <v>30</v>
      </c>
      <c r="C23" s="14">
        <f>$B$12</f>
        <v>1</v>
      </c>
      <c r="D23" s="22">
        <v>36</v>
      </c>
      <c r="E23" s="14" t="s">
        <v>21</v>
      </c>
      <c r="F23" s="19">
        <v>41003181</v>
      </c>
      <c r="G23" s="17" t="s">
        <v>31</v>
      </c>
    </row>
    <row r="24" spans="1:7" ht="30.75">
      <c r="A24" s="14" t="s">
        <v>32</v>
      </c>
      <c r="B24" s="17" t="s">
        <v>33</v>
      </c>
      <c r="C24" s="14">
        <f>ROUNDUP($B$12/2,0)</f>
        <v>1</v>
      </c>
      <c r="D24" s="22">
        <v>8</v>
      </c>
      <c r="E24" s="14" t="s">
        <v>21</v>
      </c>
      <c r="F24" s="19">
        <v>40307023</v>
      </c>
      <c r="G24" s="17" t="s">
        <v>34</v>
      </c>
    </row>
    <row r="25" spans="1:7" ht="30.75">
      <c r="A25" s="14" t="s">
        <v>32</v>
      </c>
      <c r="B25" s="17" t="s">
        <v>35</v>
      </c>
      <c r="C25" s="14">
        <f>ROUNDUP($B$12/6,0)</f>
        <v>1</v>
      </c>
      <c r="D25" s="22">
        <v>9.6</v>
      </c>
      <c r="E25" s="14" t="s">
        <v>21</v>
      </c>
      <c r="F25" s="19">
        <v>40307031</v>
      </c>
      <c r="G25" s="17" t="s">
        <v>36</v>
      </c>
    </row>
    <row r="26" spans="1:7" ht="30.75">
      <c r="A26" s="14" t="s">
        <v>32</v>
      </c>
      <c r="B26" s="17" t="s">
        <v>37</v>
      </c>
      <c r="C26" s="14">
        <f>ROUNDUP($B$12/2,0)</f>
        <v>1</v>
      </c>
      <c r="D26" s="22">
        <v>8</v>
      </c>
      <c r="E26" s="14" t="s">
        <v>21</v>
      </c>
      <c r="F26" s="19">
        <v>40307020</v>
      </c>
      <c r="G26" s="17" t="s">
        <v>38</v>
      </c>
    </row>
    <row r="27" spans="1:7" ht="30.75">
      <c r="A27" s="14" t="s">
        <v>39</v>
      </c>
      <c r="B27" s="17" t="s">
        <v>40</v>
      </c>
      <c r="C27" s="14">
        <f>ROUNDUP(($B$12*3)/10,0)</f>
        <v>1</v>
      </c>
      <c r="D27" s="22">
        <v>8</v>
      </c>
      <c r="E27" s="14" t="s">
        <v>21</v>
      </c>
      <c r="F27" s="19">
        <v>40810233</v>
      </c>
      <c r="G27" s="17" t="s">
        <v>41</v>
      </c>
    </row>
    <row r="28" spans="1:7" ht="30.75">
      <c r="A28" s="14" t="s">
        <v>42</v>
      </c>
      <c r="B28" s="17" t="s">
        <v>43</v>
      </c>
      <c r="C28" s="14">
        <f>$B$12</f>
        <v>1</v>
      </c>
      <c r="D28" s="22">
        <v>14.4</v>
      </c>
      <c r="E28" s="14" t="s">
        <v>21</v>
      </c>
      <c r="F28" s="19">
        <v>41015713</v>
      </c>
      <c r="G28" s="17" t="s">
        <v>44</v>
      </c>
    </row>
    <row r="29" spans="1:7" ht="30.75">
      <c r="A29" s="14" t="s">
        <v>45</v>
      </c>
      <c r="B29" s="17" t="s">
        <v>46</v>
      </c>
      <c r="C29" s="14">
        <f>$B$12</f>
        <v>1</v>
      </c>
      <c r="D29" s="22">
        <v>95.2</v>
      </c>
      <c r="E29" s="14" t="s">
        <v>21</v>
      </c>
      <c r="F29" s="19">
        <v>41015028</v>
      </c>
      <c r="G29" s="17" t="s">
        <v>47</v>
      </c>
    </row>
    <row r="30" spans="1:7" ht="42" customHeight="1">
      <c r="A30" s="14" t="s">
        <v>45</v>
      </c>
      <c r="B30" s="17" t="s">
        <v>48</v>
      </c>
      <c r="C30" s="14">
        <f>$B$12</f>
        <v>1</v>
      </c>
      <c r="D30" s="22">
        <v>119.2</v>
      </c>
      <c r="E30" s="14" t="s">
        <v>21</v>
      </c>
      <c r="F30" s="19">
        <v>41017035</v>
      </c>
      <c r="G30" s="17" t="s">
        <v>49</v>
      </c>
    </row>
    <row r="31" spans="1:7" ht="30.75">
      <c r="A31" s="14" t="s">
        <v>50</v>
      </c>
      <c r="B31" s="17" t="s">
        <v>51</v>
      </c>
      <c r="C31" s="14">
        <f>$B$12</f>
        <v>1</v>
      </c>
      <c r="D31" s="22">
        <v>95.2</v>
      </c>
      <c r="E31" s="14" t="s">
        <v>21</v>
      </c>
      <c r="F31" s="19">
        <v>41037104</v>
      </c>
      <c r="G31" s="17" t="s">
        <v>52</v>
      </c>
    </row>
    <row r="32" spans="1:7" ht="30.75">
      <c r="A32" s="14" t="s">
        <v>53</v>
      </c>
      <c r="B32" s="17" t="s">
        <v>54</v>
      </c>
      <c r="C32" s="14">
        <f>ROUNDUP($B$12/2,0)</f>
        <v>1</v>
      </c>
      <c r="D32" s="22">
        <v>8.8000000000000007</v>
      </c>
      <c r="E32" s="14" t="s">
        <v>21</v>
      </c>
      <c r="F32" s="19">
        <v>41024494</v>
      </c>
      <c r="G32" s="17" t="s">
        <v>55</v>
      </c>
    </row>
    <row r="33" spans="1:7" ht="45.75">
      <c r="A33" s="14" t="s">
        <v>56</v>
      </c>
      <c r="B33" s="17" t="s">
        <v>57</v>
      </c>
      <c r="C33" s="14">
        <f>$B$12</f>
        <v>1</v>
      </c>
      <c r="D33" s="22">
        <v>39.92</v>
      </c>
      <c r="E33" s="14" t="s">
        <v>58</v>
      </c>
      <c r="F33" s="19" t="s">
        <v>59</v>
      </c>
      <c r="G33" s="17" t="s">
        <v>60</v>
      </c>
    </row>
    <row r="34" spans="1:7" s="10" customFormat="1" ht="30.75">
      <c r="A34" s="25" t="s">
        <v>29</v>
      </c>
      <c r="B34" s="26" t="s">
        <v>61</v>
      </c>
      <c r="C34" s="25">
        <f>$B$12</f>
        <v>1</v>
      </c>
      <c r="D34" s="27">
        <v>31.92</v>
      </c>
      <c r="E34" s="25" t="s">
        <v>62</v>
      </c>
      <c r="F34" s="28" t="s">
        <v>63</v>
      </c>
      <c r="G34" s="26" t="s">
        <v>64</v>
      </c>
    </row>
    <row r="35" spans="1:7" ht="30.75">
      <c r="A35" s="14" t="s">
        <v>39</v>
      </c>
      <c r="B35" s="17" t="s">
        <v>65</v>
      </c>
      <c r="C35" s="14">
        <f>$B$12</f>
        <v>1</v>
      </c>
      <c r="D35" s="22">
        <v>12</v>
      </c>
      <c r="E35" s="14" t="s">
        <v>21</v>
      </c>
      <c r="F35" s="18">
        <v>33860103</v>
      </c>
      <c r="G35" s="17" t="s">
        <v>66</v>
      </c>
    </row>
    <row r="36" spans="1:7">
      <c r="A36" s="14"/>
      <c r="B36" s="17"/>
      <c r="C36" s="14"/>
      <c r="D36" s="22"/>
      <c r="E36" s="14"/>
      <c r="F36" s="18"/>
      <c r="G36" s="17"/>
    </row>
    <row r="37" spans="1:7">
      <c r="A37" s="14" t="s">
        <v>67</v>
      </c>
      <c r="B37" s="21" t="s">
        <v>68</v>
      </c>
      <c r="C37" s="14">
        <v>1</v>
      </c>
      <c r="D37" s="22">
        <v>35</v>
      </c>
      <c r="E37" s="14" t="s">
        <v>21</v>
      </c>
      <c r="F37" s="14"/>
      <c r="G37" s="17" t="s">
        <v>69</v>
      </c>
    </row>
  </sheetData>
  <mergeCells count="2">
    <mergeCell ref="A4:G4"/>
    <mergeCell ref="A2:G2"/>
  </mergeCells>
  <hyperlinks>
    <hyperlink ref="F20" r:id="rId1" display="41024158" xr:uid="{90504C56-320E-4C60-B0A3-9932908B96CE}"/>
    <hyperlink ref="F21" r:id="rId2" display="10160840" xr:uid="{EE2C67E7-A7DD-4229-BFE4-64B7D95979A7}"/>
    <hyperlink ref="F22" r:id="rId3" display="41022181" xr:uid="{5A70E913-84EB-4F0B-807D-46E1014384AF}"/>
    <hyperlink ref="F23" r:id="rId4" display="41003181" xr:uid="{52256927-22BB-4D9D-94D9-55551EF68C6C}"/>
    <hyperlink ref="F24" r:id="rId5" display="40307023" xr:uid="{8DC3DCEE-7971-4960-AEA1-40E681013282}"/>
    <hyperlink ref="F25" r:id="rId6" display="40307031" xr:uid="{A8E40DB5-9C26-4267-B913-04B5A9FB00D5}"/>
    <hyperlink ref="F26" r:id="rId7" display="40307020" xr:uid="{763B38B0-34A1-4FB4-B5E6-16501CE4C54B}"/>
    <hyperlink ref="F27" r:id="rId8" display="40810233" xr:uid="{EAFA2F55-DDFA-4B49-974B-BC4B1C0B0AD2}"/>
    <hyperlink ref="F28" r:id="rId9" display="41015713" xr:uid="{DC074F3D-50E1-4193-B771-4D53FA061BC1}"/>
    <hyperlink ref="F29" r:id="rId10" display="41015028" xr:uid="{914BBFE6-15C6-49EF-A2C2-5E5F8AB4EAEB}"/>
    <hyperlink ref="F31" r:id="rId11" display="41037104" xr:uid="{B759A3C4-46DA-441C-813B-CC48826F7FC2}"/>
    <hyperlink ref="F32" r:id="rId12" display="41024494" xr:uid="{C72CC122-5795-4574-94B5-55EBD66D1091}"/>
    <hyperlink ref="F33" r:id="rId13" xr:uid="{2DECE53B-D13B-40CF-91FC-E068B5070AC8}"/>
    <hyperlink ref="F30" r:id="rId14" display="41017035" xr:uid="{5E1FED99-2BA4-40F2-8DCD-A1E622389DA1}"/>
    <hyperlink ref="F34" r:id="rId15" xr:uid="{2673DF96-8935-454E-BB53-94B00E115EC2}"/>
    <hyperlink ref="F35" r:id="rId16" display="33860103" xr:uid="{311C4A35-5F36-443B-9FFB-3847C2EBBE7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2026-09-11T12:40:33Z</dcterms:created>
  <dcterms:modified xsi:type="dcterms:W3CDTF">2026-09-15T11:10:49Z</dcterms:modified>
  <cp:category/>
  <cp:contentStatus/>
</cp:coreProperties>
</file>